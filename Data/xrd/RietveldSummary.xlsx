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rnl-my.sharepoint.com/personal/6d1_ornl_gov/Documents/Materials_ML/Alicia/CeO2_Nd_XRD/"/>
    </mc:Choice>
  </mc:AlternateContent>
  <xr:revisionPtr revIDLastSave="122" documentId="8_{E22D68ED-1AB3-A846-B34C-01D3ADE1FEC0}" xr6:coauthVersionLast="47" xr6:coauthVersionMax="47" xr10:uidLastSave="{7AF2D7E0-A181-4191-9762-E98D6C511CAF}"/>
  <bookViews>
    <workbookView xWindow="10" yWindow="730" windowWidth="19190" windowHeight="11270" xr2:uid="{3DF5CA76-8770-D249-8FF3-BB482DB4554C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  <c r="E5" i="1" s="1"/>
  <c r="C6" i="1"/>
  <c r="E6" i="1" s="1"/>
  <c r="C4" i="1"/>
  <c r="E4" i="1" s="1"/>
</calcChain>
</file>

<file path=xl/sharedStrings.xml><?xml version="1.0" encoding="utf-8"?>
<sst xmlns="http://schemas.openxmlformats.org/spreadsheetml/2006/main" count="11" uniqueCount="9">
  <si>
    <t>Approximate Nd in solution</t>
  </si>
  <si>
    <t>%Nd total</t>
  </si>
  <si>
    <t>Unit Cell Parameter [Å]</t>
  </si>
  <si>
    <t>Targeted Atomic % Nd</t>
  </si>
  <si>
    <t>--</t>
  </si>
  <si>
    <t>Atomic % Nd</t>
  </si>
  <si>
    <t>Unit Cell Parameter</t>
  </si>
  <si>
    <r>
      <t xml:space="preserve">From: Ikuma et al., </t>
    </r>
    <r>
      <rPr>
        <u/>
        <sz val="11"/>
        <color theme="1"/>
        <rFont val="Arial"/>
        <family val="2"/>
      </rPr>
      <t>JACS</t>
    </r>
    <r>
      <rPr>
        <sz val="11"/>
        <color theme="1"/>
        <rFont val="Arial"/>
        <family val="2"/>
      </rPr>
      <t>. 88(2) (2005) 419-423</t>
    </r>
  </si>
  <si>
    <r>
      <t>Unreacted CeO</t>
    </r>
    <r>
      <rPr>
        <sz val="6"/>
        <color theme="1"/>
        <rFont val="Arial"/>
        <family val="2"/>
      </rPr>
      <t>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</si>
</sst>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theme="1"/>
      <name val="Arial"/>
      <family val="2"/>
    </font>
    <font>
      <u/>
      <sz val="11"/>
      <color theme="1"/>
      <name val="Arial"/>
      <family val="2"/>
    </font>
    <font>
      <sz val="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0" xfId="0" applyFont="1" applyAlignment="1">
      <alignment horizontal="center"/>
    </xf>
    <xf numFmtId="0" fontId="1" fillId="0" borderId="0" xfId="0" quotePrefix="1" applyFont="1" applyAlignment="1">
      <alignment horizontal="center"/>
    </xf>
    <xf numFmtId="2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  <xf numFmtId="1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C782A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577821522309711"/>
          <c:y val="5.0925925925925923E-2"/>
          <c:w val="0.79026990376202988"/>
          <c:h val="0.75245370370370368"/>
        </c:manualLayout>
      </c:layout>
      <c:scatterChart>
        <c:scatterStyle val="lineMarker"/>
        <c:varyColors val="0"/>
        <c:ser>
          <c:idx val="0"/>
          <c:order val="0"/>
          <c:tx>
            <c:v>Targeted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00FF"/>
              </a:solidFill>
              <a:ln w="9525">
                <a:solidFill>
                  <a:srgbClr val="0000FF"/>
                </a:solidFill>
              </a:ln>
              <a:effectLst/>
            </c:spPr>
          </c:marker>
          <c:xVal>
            <c:numRef>
              <c:f>Sheet1!$A$3:$A$6</c:f>
              <c:numCache>
                <c:formatCode>General</c:formatCode>
                <c:ptCount val="4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</c:numCache>
            </c:numRef>
          </c:xVal>
          <c:yVal>
            <c:numRef>
              <c:f>Sheet1!$B$3:$B$6</c:f>
              <c:numCache>
                <c:formatCode>General</c:formatCode>
                <c:ptCount val="4"/>
                <c:pt idx="0">
                  <c:v>5.4100849999999996</c:v>
                </c:pt>
                <c:pt idx="1">
                  <c:v>5.449408</c:v>
                </c:pt>
                <c:pt idx="2">
                  <c:v>5.4688610000000004</c:v>
                </c:pt>
                <c:pt idx="3">
                  <c:v>5.4889270000000003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5F-B946-9402-08E6F73640EF}"/>
            </c:ext>
          </c:extLst>
        </c:ser>
        <c:ser>
          <c:idx val="2"/>
          <c:order val="1"/>
          <c:tx>
            <c:v>Estimated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1C782A"/>
              </a:solidFill>
              <a:ln w="9525">
                <a:solidFill>
                  <a:srgbClr val="1C782A"/>
                </a:solidFill>
              </a:ln>
              <a:effectLst/>
            </c:spPr>
          </c:marker>
          <c:xVal>
            <c:numRef>
              <c:f>Sheet1!$C$4:$C$6</c:f>
              <c:numCache>
                <c:formatCode>0.00</c:formatCode>
                <c:ptCount val="3"/>
                <c:pt idx="0">
                  <c:v>19.703999999999926</c:v>
                </c:pt>
                <c:pt idx="1">
                  <c:v>29.430500000000109</c:v>
                </c:pt>
                <c:pt idx="2">
                  <c:v>39.46350000000006</c:v>
                </c:pt>
              </c:numCache>
            </c:numRef>
          </c:xVal>
          <c:yVal>
            <c:numRef>
              <c:f>Sheet1!$B$4:$B$6</c:f>
              <c:numCache>
                <c:formatCode>General</c:formatCode>
                <c:ptCount val="3"/>
                <c:pt idx="0">
                  <c:v>5.449408</c:v>
                </c:pt>
                <c:pt idx="1">
                  <c:v>5.4688610000000004</c:v>
                </c:pt>
                <c:pt idx="2">
                  <c:v>5.4889270000000003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18-B246-82E3-79844D522BE4}"/>
            </c:ext>
          </c:extLst>
        </c:ser>
        <c:ser>
          <c:idx val="1"/>
          <c:order val="2"/>
          <c:tx>
            <c:v>Ikuma et al. (2005)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Sheet1!$G$3:$G$4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Sheet1!$H$3:$H$4</c:f>
              <c:numCache>
                <c:formatCode>General</c:formatCode>
                <c:ptCount val="2"/>
                <c:pt idx="0">
                  <c:v>5.41</c:v>
                </c:pt>
                <c:pt idx="1">
                  <c:v>5.61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35F-B946-9402-08E6F73640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2751423"/>
        <c:axId val="1515661328"/>
      </c:scatterChart>
      <c:valAx>
        <c:axId val="1322751423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bg2">
                  <a:lumMod val="9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>
                    <a:solidFill>
                      <a:schemeClr val="tx1"/>
                    </a:solidFill>
                  </a:rPr>
                  <a:t>Atomic Percent 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15661328"/>
        <c:crosses val="autoZero"/>
        <c:crossBetween val="midCat"/>
        <c:majorUnit val="10"/>
      </c:valAx>
      <c:valAx>
        <c:axId val="1515661328"/>
        <c:scaling>
          <c:orientation val="minMax"/>
          <c:max val="5.52"/>
          <c:min val="5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>
                    <a:solidFill>
                      <a:schemeClr val="tx1"/>
                    </a:solidFill>
                  </a:rPr>
                  <a:t>Unit Cell Parametr [Å]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22751423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50297319711326371"/>
          <c:y val="0.51875218722659666"/>
          <c:w val="0.40896166617334972"/>
          <c:h val="0.23451589384660251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1191684</xdr:colOff>
      <xdr:row>7</xdr:row>
      <xdr:rowOff>52916</xdr:rowOff>
    </xdr:from>
    <xdr:to>
      <xdr:col>3</xdr:col>
      <xdr:colOff>474134</xdr:colOff>
      <xdr:row>20</xdr:row>
      <xdr:rowOff>154516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7F4646-58CC-E022-17B5-044AD51452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0.32643</cdr:x>
      <cdr:y>0.48997</cdr:y>
    </cdr:from>
    <cdr:to>
      <cdr:x>0.4314</cdr:x>
      <cdr:y>0.48997</cdr:y>
    </cdr:to>
    <cdr:cxnSp macro="">
      <cdr:nvCxnSpPr>
        <cdr:cNvPr id="3" name="Straight Arrow Connector 2">
          <a:extLst xmlns:a="http://schemas.openxmlformats.org/drawingml/2006/main">
            <a:ext uri="{FF2B5EF4-FFF2-40B4-BE49-F238E27FC236}">
              <a16:creationId xmlns:a16="http://schemas.microsoft.com/office/drawing/2014/main" id="{702E65C3-2D61-AC09-7758-0F8178355792}"/>
            </a:ext>
          </a:extLst>
        </cdr:cNvPr>
        <cdr:cNvCxnSpPr/>
      </cdr:nvCxnSpPr>
      <cdr:spPr>
        <a:xfrm xmlns:a="http://schemas.openxmlformats.org/drawingml/2006/main">
          <a:off x="1500717" y="1344084"/>
          <a:ext cx="482600" cy="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tx1"/>
          </a:solidFill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0.48297</cdr:x>
      <cdr:y>0.36651</cdr:y>
    </cdr:from>
    <cdr:to>
      <cdr:x>0.58794</cdr:x>
      <cdr:y>0.36651</cdr:y>
    </cdr:to>
    <cdr:cxnSp macro="">
      <cdr:nvCxnSpPr>
        <cdr:cNvPr id="11" name="Straight Arrow Connector 10">
          <a:extLst xmlns:a="http://schemas.openxmlformats.org/drawingml/2006/main">
            <a:ext uri="{FF2B5EF4-FFF2-40B4-BE49-F238E27FC236}">
              <a16:creationId xmlns:a16="http://schemas.microsoft.com/office/drawing/2014/main" id="{608E2103-0170-C36C-1544-012F02EB62D8}"/>
            </a:ext>
          </a:extLst>
        </cdr:cNvPr>
        <cdr:cNvCxnSpPr/>
      </cdr:nvCxnSpPr>
      <cdr:spPr>
        <a:xfrm xmlns:a="http://schemas.openxmlformats.org/drawingml/2006/main">
          <a:off x="2220384" y="1005417"/>
          <a:ext cx="482600" cy="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tx1"/>
          </a:solidFill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0.64134</cdr:x>
      <cdr:y>0.24306</cdr:y>
    </cdr:from>
    <cdr:to>
      <cdr:x>0.74632</cdr:x>
      <cdr:y>0.24306</cdr:y>
    </cdr:to>
    <cdr:cxnSp macro="">
      <cdr:nvCxnSpPr>
        <cdr:cNvPr id="12" name="Straight Arrow Connector 11">
          <a:extLst xmlns:a="http://schemas.openxmlformats.org/drawingml/2006/main">
            <a:ext uri="{FF2B5EF4-FFF2-40B4-BE49-F238E27FC236}">
              <a16:creationId xmlns:a16="http://schemas.microsoft.com/office/drawing/2014/main" id="{608E2103-0170-C36C-1544-012F02EB62D8}"/>
            </a:ext>
          </a:extLst>
        </cdr:cNvPr>
        <cdr:cNvCxnSpPr/>
      </cdr:nvCxnSpPr>
      <cdr:spPr>
        <a:xfrm xmlns:a="http://schemas.openxmlformats.org/drawingml/2006/main">
          <a:off x="2948517" y="666751"/>
          <a:ext cx="482600" cy="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tx1"/>
          </a:solidFill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F4D51-9B35-0945-897E-7D0CF52D0EE0}">
  <dimension ref="A1:H6"/>
  <sheetViews>
    <sheetView tabSelected="1" zoomScaleNormal="100" workbookViewId="0">
      <selection activeCell="F14" sqref="F14"/>
    </sheetView>
  </sheetViews>
  <sheetFormatPr defaultColWidth="10.83203125" defaultRowHeight="14" x14ac:dyDescent="0.3"/>
  <cols>
    <col min="1" max="1" width="20" style="1" bestFit="1" customWidth="1"/>
    <col min="2" max="2" width="21.33203125" style="1" bestFit="1" customWidth="1"/>
    <col min="3" max="3" width="23.6640625" style="1" bestFit="1" customWidth="1"/>
    <col min="4" max="4" width="15" style="1" bestFit="1" customWidth="1"/>
    <col min="5" max="6" width="10.83203125" style="1"/>
    <col min="7" max="7" width="14.1640625" style="1" customWidth="1"/>
    <col min="8" max="16384" width="10.83203125" style="1"/>
  </cols>
  <sheetData>
    <row r="1" spans="1:8" x14ac:dyDescent="0.3">
      <c r="G1" s="1" t="s">
        <v>7</v>
      </c>
    </row>
    <row r="2" spans="1:8" ht="14.5" thickBot="1" x14ac:dyDescent="0.35">
      <c r="A2" s="2" t="s">
        <v>3</v>
      </c>
      <c r="B2" s="2" t="s">
        <v>2</v>
      </c>
      <c r="C2" s="2" t="s">
        <v>0</v>
      </c>
      <c r="D2" s="2" t="s">
        <v>8</v>
      </c>
      <c r="E2" s="2" t="s">
        <v>1</v>
      </c>
      <c r="G2" s="1" t="s">
        <v>5</v>
      </c>
      <c r="H2" s="1" t="s">
        <v>6</v>
      </c>
    </row>
    <row r="3" spans="1:8" ht="14.5" thickTop="1" x14ac:dyDescent="0.3">
      <c r="A3" s="3">
        <v>0</v>
      </c>
      <c r="B3" s="3">
        <v>5.4100849999999996</v>
      </c>
      <c r="C3" s="4" t="s">
        <v>4</v>
      </c>
      <c r="D3" s="4" t="s">
        <v>4</v>
      </c>
      <c r="E3" s="4" t="s">
        <v>4</v>
      </c>
      <c r="G3" s="1">
        <v>0</v>
      </c>
      <c r="H3" s="1">
        <v>5.41</v>
      </c>
    </row>
    <row r="4" spans="1:8" x14ac:dyDescent="0.3">
      <c r="A4" s="3">
        <v>10</v>
      </c>
      <c r="B4" s="3">
        <v>5.449408</v>
      </c>
      <c r="C4" s="5">
        <f>$G$4/($H$4-$H$3)*(B4-$H$3)</f>
        <v>19.703999999999926</v>
      </c>
      <c r="D4" s="6">
        <v>0.21723000000000001</v>
      </c>
      <c r="E4" s="6">
        <f>(C4*144/((100-C4+D4*100)*140+C4*144))</f>
        <v>0.16573423093269135</v>
      </c>
      <c r="F4" s="7"/>
      <c r="G4" s="1">
        <v>100</v>
      </c>
      <c r="H4" s="1">
        <v>5.61</v>
      </c>
    </row>
    <row r="5" spans="1:8" x14ac:dyDescent="0.3">
      <c r="A5" s="3">
        <v>20</v>
      </c>
      <c r="B5" s="3">
        <v>5.4688610000000004</v>
      </c>
      <c r="C5" s="5">
        <f t="shared" ref="C5:C6" si="0">$G$4/($H$4-$H$3)*(B5-$H$3)</f>
        <v>29.430500000000109</v>
      </c>
      <c r="D5" s="6">
        <v>0.33006000000000002</v>
      </c>
      <c r="E5" s="6">
        <f t="shared" ref="E5:E6" si="1">(C5*144/((100-C5+D5*100)*140+C5*144))</f>
        <v>0.22616420619682637</v>
      </c>
      <c r="F5" s="7"/>
    </row>
    <row r="6" spans="1:8" x14ac:dyDescent="0.3">
      <c r="A6" s="3">
        <v>30</v>
      </c>
      <c r="B6" s="3">
        <v>5.4889270000000003</v>
      </c>
      <c r="C6" s="5">
        <f t="shared" si="0"/>
        <v>39.46350000000006</v>
      </c>
      <c r="D6" s="6">
        <v>0.13250000000000001</v>
      </c>
      <c r="E6" s="6">
        <f t="shared" si="1"/>
        <v>0.35488639314390857</v>
      </c>
      <c r="F6" s="7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Cureton</dc:creator>
  <cp:lastModifiedBy>Adorno Lopes, Denise</cp:lastModifiedBy>
  <dcterms:created xsi:type="dcterms:W3CDTF">2025-01-23T19:37:24Z</dcterms:created>
  <dcterms:modified xsi:type="dcterms:W3CDTF">2025-10-20T14:29:54Z</dcterms:modified>
</cp:coreProperties>
</file>